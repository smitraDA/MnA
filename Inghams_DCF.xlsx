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charl\Downloads\"/>
    </mc:Choice>
  </mc:AlternateContent>
  <xr:revisionPtr revIDLastSave="0" documentId="13_ncr:1_{F278A772-D57B-447B-B760-D0B7341DF4E7}" xr6:coauthVersionLast="47" xr6:coauthVersionMax="47" xr10:uidLastSave="{00000000-0000-0000-0000-000000000000}"/>
  <bookViews>
    <workbookView xWindow="-98" yWindow="-98" windowWidth="21795" windowHeight="13875" tabRatio="500" activeTab="2" xr2:uid="{00000000-000D-0000-FFFF-FFFF00000000}"/>
  </bookViews>
  <sheets>
    <sheet name="Historical &amp; FCFF" sheetId="1" r:id="rId1"/>
    <sheet name="WACC" sheetId="2" r:id="rId2"/>
    <sheet name="DCF Model" sheetId="3" r:id="rId3"/>
    <sheet name="Assumptions" sheetId="5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3" l="1"/>
  <c r="B15" i="3"/>
  <c r="B29" i="2"/>
  <c r="B28" i="2"/>
  <c r="B31" i="3"/>
  <c r="H14" i="3"/>
  <c r="G14" i="3"/>
  <c r="F14" i="3"/>
  <c r="E14" i="3"/>
  <c r="D14" i="3"/>
  <c r="C14" i="3"/>
  <c r="B25" i="2"/>
  <c r="B15" i="2"/>
  <c r="B16" i="2" s="1"/>
  <c r="B18" i="2" s="1"/>
  <c r="B9" i="2"/>
  <c r="B43" i="1"/>
  <c r="B37" i="1"/>
  <c r="B38" i="1" s="1"/>
  <c r="B36" i="1"/>
  <c r="B35" i="1"/>
  <c r="C30" i="1"/>
  <c r="B30" i="1"/>
  <c r="B31" i="1" s="1"/>
  <c r="B44" i="1" s="1"/>
  <c r="C17" i="1"/>
  <c r="B17" i="1"/>
  <c r="B39" i="1" s="1"/>
  <c r="B40" i="1" l="1"/>
  <c r="B27" i="2"/>
  <c r="B42" i="1"/>
  <c r="B46" i="1" l="1"/>
  <c r="B32" i="2"/>
  <c r="B8" i="3" s="1"/>
  <c r="H17" i="3" l="1"/>
  <c r="G17" i="3"/>
  <c r="F17" i="3"/>
  <c r="E17" i="3"/>
  <c r="D17" i="3"/>
  <c r="C17" i="3"/>
  <c r="B5" i="3"/>
  <c r="B49" i="1"/>
  <c r="B48" i="1"/>
  <c r="C18" i="3" l="1"/>
  <c r="D15" i="3"/>
  <c r="D18" i="3" l="1"/>
  <c r="E15" i="3"/>
  <c r="E18" i="3" l="1"/>
  <c r="F15" i="3"/>
  <c r="F18" i="3" l="1"/>
  <c r="G15" i="3"/>
  <c r="H16" i="3" l="1"/>
  <c r="H19" i="3" s="1"/>
  <c r="B25" i="3" s="1"/>
  <c r="G18" i="3"/>
  <c r="B24" i="3" s="1"/>
  <c r="B26" i="3" l="1"/>
  <c r="B29" i="3" s="1"/>
  <c r="B32" i="3" s="1"/>
  <c r="B34" i="3" s="1"/>
  <c r="B36" i="3"/>
</calcChain>
</file>

<file path=xl/sharedStrings.xml><?xml version="1.0" encoding="utf-8"?>
<sst xmlns="http://schemas.openxmlformats.org/spreadsheetml/2006/main" count="184" uniqueCount="167">
  <si>
    <t>INGHAMS GROUP LIMITED (ASX: ING) — DCF VALUATION</t>
  </si>
  <si>
    <t>Based on FY2025 Annual Report (52 weeks ended 28 June 2025). All figures A$000.</t>
  </si>
  <si>
    <t>INCOME STATEMENT EXTRACT</t>
  </si>
  <si>
    <t>Item</t>
  </si>
  <si>
    <t>FY2025 ($000)</t>
  </si>
  <si>
    <t>FY2024 ($000)</t>
  </si>
  <si>
    <t>Revenue</t>
  </si>
  <si>
    <t>EBITDA (Segment Note — AASB 16 basis)</t>
  </si>
  <si>
    <t>EBITDA Pre-AASB 16 (Segment Note)</t>
  </si>
  <si>
    <t>PP&amp;E Depreciation</t>
  </si>
  <si>
    <t>ROU Asset Depreciation (lease-related)</t>
  </si>
  <si>
    <t>Amortisation</t>
  </si>
  <si>
    <t>Total D&amp;A</t>
  </si>
  <si>
    <t>EBIT (Operating Profit)</t>
  </si>
  <si>
    <t>Profit Before Tax</t>
  </si>
  <si>
    <t>Income Tax Expense</t>
  </si>
  <si>
    <t>Net Profit After Tax</t>
  </si>
  <si>
    <t>Effective Tax Rate</t>
  </si>
  <si>
    <t>CASH FLOW STATEMENT EXTRACT</t>
  </si>
  <si>
    <t>Net Cash from Operating Activities</t>
  </si>
  <si>
    <t>Capital Expenditure (maintenance/organic)</t>
  </si>
  <si>
    <t>Property Purchases</t>
  </si>
  <si>
    <t>Acquisition of Business &amp; Assets (non-recurring)</t>
  </si>
  <si>
    <t>NET WORKING CAPITAL</t>
  </si>
  <si>
    <t>Current Assets (excl Cash): Receivables + Bio + Inventory</t>
  </si>
  <si>
    <t>Current Liabilities (excl Debt): Payables + Provisions</t>
  </si>
  <si>
    <t>Net Working Capital</t>
  </si>
  <si>
    <t>Change in NWC (increase = cash outflow)</t>
  </si>
  <si>
    <t xml:space="preserve">FREE CASH FLOW TO THE FIRM </t>
  </si>
  <si>
    <t>FCFF Build-Up</t>
  </si>
  <si>
    <t>EBITDA Pre-AASB 16</t>
  </si>
  <si>
    <t>Less: PP&amp;E Depreciation</t>
  </si>
  <si>
    <t>Less: Amortisation</t>
  </si>
  <si>
    <t>EBIT Pre-AASB 16</t>
  </si>
  <si>
    <t>NOPAT = EBIT × (1 – t)</t>
  </si>
  <si>
    <t>Add: PP&amp;E Depreciation &amp; Amortisation</t>
  </si>
  <si>
    <t>Less: Capital Expenditure (maintenance only)</t>
  </si>
  <si>
    <t>Less: Change in Net Working Capital</t>
  </si>
  <si>
    <t>FCFF (Pre-AASB 16)</t>
  </si>
  <si>
    <t>Sanity Check: FCFF / Revenue</t>
  </si>
  <si>
    <t>Sanity Check: FCFF / EBITDA Pre-AASB16</t>
  </si>
  <si>
    <t>METHODOLOGY NOTES:</t>
  </si>
  <si>
    <t>• FCFF = NOPAT + D&amp;A − CapEx − ΔWC, computed on a Pre-AASB 16 basis.</t>
  </si>
  <si>
    <t>• Pre-AASB 16 EBITDA ($236.4m) treats lease payments as operating expenses so no ROU depreciation add-back.</t>
  </si>
  <si>
    <t>• Only PP&amp;E depreciation ($61.6m) and amortisation ($0.3m) are added back; ROU depreciation ($121.0m) is excluded.</t>
  </si>
  <si>
    <t>• CapEx uses maintenance/organic only ($104.1m). Bostock acquisition ($31.3m) excluded as non-recurring.</t>
  </si>
  <si>
    <t>• Because leases are already expensed in EBITDA Pre-AASB 16, lease liabilities are NOT deducted from EV.</t>
  </si>
  <si>
    <t xml:space="preserve">  This avoids the double-counting error of adding back ROU depreciation while also deducting lease liabilities.</t>
  </si>
  <si>
    <t>• NWC = (Trade Rec + Bio Assets + Inventory) − (Trade Payables + Provisions).</t>
  </si>
  <si>
    <t>• Source: Inghams FY2025 Annual Report, Segment Note 4, Notes 5, 12, 13.</t>
  </si>
  <si>
    <t>WEIGHTED AVERAGE COST OF CAPITAL (WACC)</t>
  </si>
  <si>
    <t>Inghams Group Limited (ASX: ING)</t>
  </si>
  <si>
    <t>COST OF EQUITY — CAPM</t>
  </si>
  <si>
    <t>Parameter</t>
  </si>
  <si>
    <t>Value</t>
  </si>
  <si>
    <t>Source / Justification</t>
  </si>
  <si>
    <t>Risk-Free Rate (Rf)</t>
  </si>
  <si>
    <t>AU 10-yr Govt Bond ~4.9% (May 2026)</t>
  </si>
  <si>
    <t>Equity Risk Premium (ERP)</t>
  </si>
  <si>
    <t>Damodaran/Leadenhall AU ERP 5.0–6.0%; use 6.0%</t>
  </si>
  <si>
    <t>Beta (β)</t>
  </si>
  <si>
    <t>Yahoo 0.21 / TradingView 0.51; 0.50 reflects defensive food sector</t>
  </si>
  <si>
    <t>Cost of Equity (Ke) = Rf + β × ERP</t>
  </si>
  <si>
    <t>CAPM</t>
  </si>
  <si>
    <t>COST OF DEBT</t>
  </si>
  <si>
    <t>Interest &amp; Borrowing Costs ($000)</t>
  </si>
  <si>
    <t>Note 5c: excl lease interest ($42m) &amp; amortisation</t>
  </si>
  <si>
    <t>Average Borrowings ($000)</t>
  </si>
  <si>
    <t>Average of FY25 ($536.8m) &amp; FY24 ($458.6m)</t>
  </si>
  <si>
    <t>Pre-Tax Cost of Debt (Kd)</t>
  </si>
  <si>
    <t>Interest / average debt</t>
  </si>
  <si>
    <t>Corporate Tax Rate</t>
  </si>
  <si>
    <t>Australian statutory rate 30%</t>
  </si>
  <si>
    <t>After-Tax Cost of Debt = Kd × (1−t)</t>
  </si>
  <si>
    <t>CAPITAL STRUCTURE</t>
  </si>
  <si>
    <t>Shares Outstanding (000)</t>
  </si>
  <si>
    <t>Note 28: weighted average basic shares</t>
  </si>
  <si>
    <t>Share Price (A$)</t>
  </si>
  <si>
    <t>ASX market price (May 2026)</t>
  </si>
  <si>
    <t>Market Cap ($000)</t>
  </si>
  <si>
    <t>Total Debt — Borrowings ($000)</t>
  </si>
  <si>
    <t>Note 15: unsecured bank loans</t>
  </si>
  <si>
    <t>Total Capital (E + D)</t>
  </si>
  <si>
    <t>Weight of Equity (We)</t>
  </si>
  <si>
    <t>Weight of Debt (Wd)</t>
  </si>
  <si>
    <t>WACC = We × Ke + Wd × Kd(1−t)</t>
  </si>
  <si>
    <t>WACC ASSUMPTIONS &amp; JUSTIFICATIONS:</t>
  </si>
  <si>
    <t>• Rf: AU 10-yr bond ~4.9% — elevated vs history due to RBA tightening and persistent inflation.</t>
  </si>
  <si>
    <t>• ERP: 6.0%</t>
  </si>
  <si>
    <t>• Beta: 0.50. Low beta is typical for staples (poultry = non-discretionary protein). Blume-adjusted from 0.21–0.51 raw.</t>
  </si>
  <si>
    <t>• Kd: ~8.3% pre-tax from actual interest expense on floating-rate BBSW-linked bank facilities.</t>
  </si>
  <si>
    <t>• Capital structure: market equity + book debt. Lease liabilities excluded (Pre-AASB 16 approach).</t>
  </si>
  <si>
    <t>TWO-STAGE DCF MODEL; INGHAMS GROUP LIMITED</t>
  </si>
  <si>
    <t>Pre-AASB 16 basis. All figures A$000 unless stated.</t>
  </si>
  <si>
    <t>KEY ASSUMPTIONS (edit yellow cells)</t>
  </si>
  <si>
    <t>Base FCFF ($000)</t>
  </si>
  <si>
    <t>Near-Term Growth Rate (Years 1–5)</t>
  </si>
  <si>
    <t>Terminal (Perpetual) Growth Rate</t>
  </si>
  <si>
    <t>WACC</t>
  </si>
  <si>
    <t>FCFF PROJECTIONS</t>
  </si>
  <si>
    <t>Year 0</t>
  </si>
  <si>
    <t>Year 1</t>
  </si>
  <si>
    <t>Year 2</t>
  </si>
  <si>
    <t>Year 3</t>
  </si>
  <si>
    <t>Year 4</t>
  </si>
  <si>
    <t>Year 5</t>
  </si>
  <si>
    <t>Terminal</t>
  </si>
  <si>
    <t>Fiscal Year</t>
  </si>
  <si>
    <t>FY2025</t>
  </si>
  <si>
    <t>FY2026</t>
  </si>
  <si>
    <t>FY2027</t>
  </si>
  <si>
    <t>FY2028</t>
  </si>
  <si>
    <t>FY2029</t>
  </si>
  <si>
    <t>FY2030</t>
  </si>
  <si>
    <t>Perpetuity</t>
  </si>
  <si>
    <t>Growth Rate</t>
  </si>
  <si>
    <t>FCFF ($000)</t>
  </si>
  <si>
    <t>Terminal Value ($000)</t>
  </si>
  <si>
    <t>Discount Factor 1/(1+WACC)^n</t>
  </si>
  <si>
    <t>PV of FCFF ($000)</t>
  </si>
  <si>
    <t>PV of Terminal Value ($000)</t>
  </si>
  <si>
    <t>VALUATION SUMMARY</t>
  </si>
  <si>
    <t>Component</t>
  </si>
  <si>
    <t>Value ($000)</t>
  </si>
  <si>
    <t>Sum of PV of FCFFs (Years 1–5)</t>
  </si>
  <si>
    <t>PV of Terminal Value</t>
  </si>
  <si>
    <t>Total Enterprise Value</t>
  </si>
  <si>
    <t>Less: Total Debt (Borrowings)</t>
  </si>
  <si>
    <t>Add: Cash &amp; Cash Equivalents</t>
  </si>
  <si>
    <t>Total Equity Value</t>
  </si>
  <si>
    <t>Implied Share Price (A$)</t>
  </si>
  <si>
    <t>Current Market Price (A$)</t>
  </si>
  <si>
    <t>Upside / (Downside)</t>
  </si>
  <si>
    <t>Terminal Value as % of EV</t>
  </si>
  <si>
    <t>ASSUMPTIONS &amp; JUSTIFICATIONS</t>
  </si>
  <si>
    <t>Assumption</t>
  </si>
  <si>
    <t>Justification</t>
  </si>
  <si>
    <t>FCFF Basis</t>
  </si>
  <si>
    <t>Pre-AASB 16</t>
  </si>
  <si>
    <t>Uses EBITDA Pre-AASB 16 ($236.4m) which treats lease payments as operating expenses. Only PP&amp;E depreciation ($61.6m) is added back. ROU depreciation ($121.0m) is excluded. This avoids the double-counting error of adding back ROU depreciation while also deducting lease liabilities from EV.</t>
  </si>
  <si>
    <t>Near-Term Growth</t>
  </si>
  <si>
    <t>3.0%</t>
  </si>
  <si>
    <t xml:space="preserve">AU poultry market grows ~2–3% p.a. from population growth and protein substitution from red meat. </t>
  </si>
  <si>
    <t>Terminal Growth</t>
  </si>
  <si>
    <t>2.5%</t>
  </si>
  <si>
    <t>Aligned with long-term AU nominal GDP growth (~2.5%). Poultry is a mature, non-cyclical market. Should not exceed long-run GDP. Approximates RBA inflation target (2–3%) plus minimal real growth.</t>
  </si>
  <si>
    <t>Risk-Free Rate</t>
  </si>
  <si>
    <t>4.9%</t>
  </si>
  <si>
    <t xml:space="preserve">AU 10-year government bond yield ~4.9% (May 2026). </t>
  </si>
  <si>
    <t>Equity Risk Premium</t>
  </si>
  <si>
    <t>6.0%</t>
  </si>
  <si>
    <t>Damodaran AU ERP ~5.5–6.0%. Leadenhall EMRP 5.0% (Mar 2025). Use 6.0% given elevated volatility. Within accepted 5–7% range.</t>
  </si>
  <si>
    <t>Beta</t>
  </si>
  <si>
    <t>0.50</t>
  </si>
  <si>
    <t>Yahoo 5Y monthly β = 0.21; TradingView = 0.51; Simply Wall St = 0.27. Low beta typical for defensive food/staples. 0.50 is a reasonable midpoint. Blume adjustment of 0.21 raw gives ~0.47.</t>
  </si>
  <si>
    <t>Cost of Debt</t>
  </si>
  <si>
    <t>~8.3% pre-tax</t>
  </si>
  <si>
    <t>Interest &amp; borrowing costs ($41.2m) / average borrowings ($497.7m). Floating rate at BBSW + margin. After-tax ~5.8%. Consistent with BBB-rated AU corporate debt.</t>
  </si>
  <si>
    <t>Capital Structure</t>
  </si>
  <si>
    <t>Market-based</t>
  </si>
  <si>
    <t>Market cap ~$769m (371.7m × $2.07) + book debt $536.8m. Lease liabilities excluded from capital structure (Pre-AASB 16 approach).</t>
  </si>
  <si>
    <t>CapEx</t>
  </si>
  <si>
    <t>$104.1m</t>
  </si>
  <si>
    <t>Maintenance/organic CapEx only. Bostock acquisition ($31.3m) excluded as non-recurring. FY25 capex above FY24 base ($85.7m) due to network investment.</t>
  </si>
  <si>
    <t>Shares</t>
  </si>
  <si>
    <t>371.7 million</t>
  </si>
  <si>
    <t>Weighted average basic shares (Note 28).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</si>
</sst>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.00"/>
    <numFmt numFmtId="166" formatCode="0.0000"/>
  </numFmts>
  <fonts count="13">
    <font>
      <sz val="11"/>
      <color theme="1"/>
      <name val="Calibri"/>
      <family val="2"/>
      <charset val="1"/>
    </font>
    <font>
      <b/>
      <sz val="14"/>
      <color rgb="FF8B0000"/>
      <name val="Arial"/>
      <charset val="1"/>
    </font>
    <font>
      <i/>
      <sz val="10"/>
      <name val="Arial"/>
      <charset val="1"/>
    </font>
    <font>
      <b/>
      <sz val="12"/>
      <color rgb="FF8B000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sz val="9"/>
      <name val="Arial"/>
      <charset val="1"/>
    </font>
    <font>
      <b/>
      <sz val="10"/>
      <color rgb="FF0000FF"/>
      <name val="Arial"/>
      <charset val="1"/>
    </font>
    <font>
      <i/>
      <sz val="9"/>
      <name val="Arial"/>
      <charset val="1"/>
    </font>
    <font>
      <b/>
      <sz val="12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3" fontId="6" fillId="0" borderId="0" xfId="0" applyNumberFormat="1" applyFont="1"/>
    <xf numFmtId="0" fontId="7" fillId="0" borderId="0" xfId="0" applyFont="1"/>
    <xf numFmtId="3" fontId="6" fillId="3" borderId="0" xfId="0" applyNumberFormat="1" applyFont="1" applyFill="1"/>
    <xf numFmtId="164" fontId="7" fillId="0" borderId="0" xfId="0" applyNumberFormat="1" applyFont="1"/>
    <xf numFmtId="3" fontId="7" fillId="0" borderId="0" xfId="0" applyNumberFormat="1" applyFont="1"/>
    <xf numFmtId="3" fontId="5" fillId="0" borderId="0" xfId="0" applyNumberFormat="1" applyFont="1"/>
    <xf numFmtId="164" fontId="5" fillId="0" borderId="0" xfId="0" applyNumberFormat="1" applyFont="1"/>
    <xf numFmtId="0" fontId="8" fillId="4" borderId="0" xfId="0" applyFont="1" applyFill="1"/>
    <xf numFmtId="3" fontId="8" fillId="4" borderId="0" xfId="0" applyNumberFormat="1" applyFont="1" applyFill="1"/>
    <xf numFmtId="164" fontId="0" fillId="0" borderId="0" xfId="0" applyNumberFormat="1"/>
    <xf numFmtId="0" fontId="9" fillId="0" borderId="0" xfId="0" applyFont="1"/>
    <xf numFmtId="164" fontId="10" fillId="5" borderId="0" xfId="0" applyNumberFormat="1" applyFont="1" applyFill="1"/>
    <xf numFmtId="0" fontId="11" fillId="0" borderId="0" xfId="0" applyFont="1"/>
    <xf numFmtId="2" fontId="10" fillId="5" borderId="0" xfId="0" applyNumberFormat="1" applyFont="1" applyFill="1"/>
    <xf numFmtId="164" fontId="6" fillId="5" borderId="0" xfId="0" applyNumberFormat="1" applyFont="1" applyFill="1"/>
    <xf numFmtId="3" fontId="6" fillId="5" borderId="0" xfId="0" applyNumberFormat="1" applyFont="1" applyFill="1"/>
    <xf numFmtId="165" fontId="6" fillId="5" borderId="0" xfId="0" applyNumberFormat="1" applyFont="1" applyFill="1"/>
    <xf numFmtId="0" fontId="12" fillId="4" borderId="0" xfId="0" applyFont="1" applyFill="1"/>
    <xf numFmtId="164" fontId="12" fillId="4" borderId="0" xfId="0" applyNumberFormat="1" applyFont="1" applyFill="1"/>
    <xf numFmtId="3" fontId="10" fillId="5" borderId="0" xfId="0" applyNumberFormat="1" applyFont="1" applyFill="1"/>
    <xf numFmtId="3" fontId="0" fillId="0" borderId="0" xfId="0" applyNumberFormat="1"/>
    <xf numFmtId="166" fontId="0" fillId="0" borderId="0" xfId="0" applyNumberFormat="1"/>
    <xf numFmtId="0" fontId="7" fillId="4" borderId="0" xfId="0" applyFont="1" applyFill="1"/>
    <xf numFmtId="3" fontId="7" fillId="4" borderId="0" xfId="0" applyNumberFormat="1" applyFont="1" applyFill="1"/>
    <xf numFmtId="165" fontId="7" fillId="4" borderId="0" xfId="0" applyNumberFormat="1" applyFont="1" applyFill="1"/>
    <xf numFmtId="165" fontId="6" fillId="0" borderId="0" xfId="0" applyNumberFormat="1" applyFont="1"/>
    <xf numFmtId="0" fontId="7" fillId="6" borderId="0" xfId="0" applyFont="1" applyFill="1"/>
    <xf numFmtId="0" fontId="6" fillId="6" borderId="0" xfId="0" applyFont="1" applyFill="1"/>
    <xf numFmtId="0" fontId="9" fillId="6" borderId="0" xfId="0" applyFont="1" applyFill="1" applyAlignment="1">
      <alignment wrapText="1"/>
    </xf>
    <xf numFmtId="0" fontId="6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opLeftCell="A27" zoomScaleNormal="100" workbookViewId="0">
      <selection activeCell="A37" sqref="A37"/>
    </sheetView>
  </sheetViews>
  <sheetFormatPr defaultColWidth="8.7109375" defaultRowHeight="15"/>
  <cols>
    <col min="1" max="1" width="48" customWidth="1"/>
    <col min="2" max="3" width="18" customWidth="1"/>
  </cols>
  <sheetData>
    <row r="1" spans="1:3" ht="17.25" customHeight="1">
      <c r="A1" s="1" t="s">
        <v>0</v>
      </c>
    </row>
    <row r="2" spans="1:3" ht="15" customHeight="1">
      <c r="A2" s="2" t="s">
        <v>1</v>
      </c>
    </row>
    <row r="4" spans="1:3" ht="15" customHeight="1">
      <c r="A4" s="3" t="s">
        <v>2</v>
      </c>
    </row>
    <row r="5" spans="1:3" ht="15" customHeight="1">
      <c r="A5" s="4" t="s">
        <v>3</v>
      </c>
      <c r="B5" s="4" t="s">
        <v>4</v>
      </c>
      <c r="C5" s="4" t="s">
        <v>5</v>
      </c>
    </row>
    <row r="6" spans="1:3" ht="15" customHeight="1">
      <c r="A6" s="5" t="s">
        <v>6</v>
      </c>
      <c r="B6" s="6">
        <v>3152400</v>
      </c>
      <c r="C6" s="6">
        <v>3262000</v>
      </c>
    </row>
    <row r="7" spans="1:3" ht="15" customHeight="1">
      <c r="A7" s="5" t="s">
        <v>7</v>
      </c>
      <c r="B7" s="6">
        <v>392200</v>
      </c>
      <c r="C7" s="6">
        <v>471100</v>
      </c>
    </row>
    <row r="8" spans="1:3" ht="15" customHeight="1">
      <c r="A8" s="7" t="s">
        <v>8</v>
      </c>
      <c r="B8" s="8">
        <v>236400</v>
      </c>
      <c r="C8" s="6">
        <v>240100</v>
      </c>
    </row>
    <row r="9" spans="1:3" ht="15" customHeight="1">
      <c r="A9" s="5" t="s">
        <v>9</v>
      </c>
      <c r="B9" s="6">
        <v>61600</v>
      </c>
      <c r="C9" s="6">
        <v>57500</v>
      </c>
    </row>
    <row r="10" spans="1:3" ht="15" customHeight="1">
      <c r="A10" s="5" t="s">
        <v>10</v>
      </c>
      <c r="B10" s="6">
        <v>121000</v>
      </c>
      <c r="C10" s="6">
        <v>189900</v>
      </c>
    </row>
    <row r="11" spans="1:3" ht="15" customHeight="1">
      <c r="A11" s="5" t="s">
        <v>11</v>
      </c>
      <c r="B11" s="6">
        <v>300</v>
      </c>
      <c r="C11" s="6">
        <v>0</v>
      </c>
    </row>
    <row r="12" spans="1:3" ht="15" customHeight="1">
      <c r="A12" s="5" t="s">
        <v>12</v>
      </c>
      <c r="B12" s="6">
        <v>182900</v>
      </c>
      <c r="C12" s="6">
        <v>244300</v>
      </c>
    </row>
    <row r="13" spans="1:3" ht="15" customHeight="1">
      <c r="A13" s="5" t="s">
        <v>13</v>
      </c>
      <c r="B13" s="6">
        <v>208600</v>
      </c>
      <c r="C13" s="6">
        <v>225900</v>
      </c>
    </row>
    <row r="14" spans="1:3" ht="15" customHeight="1">
      <c r="A14" s="5" t="s">
        <v>14</v>
      </c>
      <c r="B14" s="6">
        <v>126900</v>
      </c>
      <c r="C14" s="6">
        <v>143200</v>
      </c>
    </row>
    <row r="15" spans="1:3" ht="15" customHeight="1">
      <c r="A15" s="5" t="s">
        <v>15</v>
      </c>
      <c r="B15" s="6">
        <v>37100</v>
      </c>
      <c r="C15" s="6">
        <v>41700</v>
      </c>
    </row>
    <row r="16" spans="1:3" ht="15" customHeight="1">
      <c r="A16" s="5" t="s">
        <v>16</v>
      </c>
      <c r="B16" s="6">
        <v>89800</v>
      </c>
      <c r="C16" s="6">
        <v>101500</v>
      </c>
    </row>
    <row r="17" spans="1:3" ht="15" customHeight="1">
      <c r="A17" s="7" t="s">
        <v>17</v>
      </c>
      <c r="B17" s="9">
        <f>B15/B14</f>
        <v>0.29235618597320723</v>
      </c>
      <c r="C17" s="9">
        <f>C15/C14</f>
        <v>0.29120111731843573</v>
      </c>
    </row>
    <row r="19" spans="1:3" ht="15" customHeight="1">
      <c r="A19" s="3" t="s">
        <v>18</v>
      </c>
    </row>
    <row r="20" spans="1:3" ht="15" customHeight="1">
      <c r="A20" s="4" t="s">
        <v>3</v>
      </c>
      <c r="B20" s="4" t="s">
        <v>4</v>
      </c>
      <c r="C20" s="4" t="s">
        <v>5</v>
      </c>
    </row>
    <row r="21" spans="1:3" ht="15" customHeight="1">
      <c r="A21" s="5" t="s">
        <v>19</v>
      </c>
      <c r="B21" s="6">
        <v>319300</v>
      </c>
      <c r="C21" s="6">
        <v>418500</v>
      </c>
    </row>
    <row r="22" spans="1:3" ht="15" customHeight="1">
      <c r="A22" s="5" t="s">
        <v>20</v>
      </c>
      <c r="B22" s="6">
        <v>-104100</v>
      </c>
      <c r="C22" s="6">
        <v>-85700</v>
      </c>
    </row>
    <row r="23" spans="1:3" ht="15" customHeight="1">
      <c r="A23" s="5" t="s">
        <v>21</v>
      </c>
      <c r="B23" s="6">
        <v>0</v>
      </c>
      <c r="C23" s="6">
        <v>-76000</v>
      </c>
    </row>
    <row r="24" spans="1:3" ht="15" customHeight="1">
      <c r="A24" s="5" t="s">
        <v>22</v>
      </c>
      <c r="B24" s="6">
        <v>-31300</v>
      </c>
      <c r="C24" s="6">
        <v>-6600</v>
      </c>
    </row>
    <row r="26" spans="1:3" ht="15" customHeight="1">
      <c r="A26" s="3" t="s">
        <v>23</v>
      </c>
    </row>
    <row r="27" spans="1:3" ht="15" customHeight="1">
      <c r="A27" s="4" t="s">
        <v>3</v>
      </c>
      <c r="B27" s="4" t="s">
        <v>4</v>
      </c>
      <c r="C27" s="4" t="s">
        <v>5</v>
      </c>
    </row>
    <row r="28" spans="1:3" ht="15" customHeight="1">
      <c r="A28" s="5" t="s">
        <v>24</v>
      </c>
      <c r="B28" s="6">
        <v>706400</v>
      </c>
      <c r="C28" s="6">
        <v>635100</v>
      </c>
    </row>
    <row r="29" spans="1:3" ht="15" customHeight="1">
      <c r="A29" s="5" t="s">
        <v>25</v>
      </c>
      <c r="B29" s="6">
        <v>583200</v>
      </c>
      <c r="C29" s="6">
        <v>530200</v>
      </c>
    </row>
    <row r="30" spans="1:3" ht="15" customHeight="1">
      <c r="A30" s="7" t="s">
        <v>26</v>
      </c>
      <c r="B30" s="10">
        <f>B28-B29</f>
        <v>123200</v>
      </c>
      <c r="C30" s="10">
        <f>C28-C29</f>
        <v>104900</v>
      </c>
    </row>
    <row r="31" spans="1:3" ht="15" customHeight="1">
      <c r="A31" s="7" t="s">
        <v>27</v>
      </c>
      <c r="B31" s="10">
        <f>B30-C30</f>
        <v>18300</v>
      </c>
    </row>
    <row r="33" spans="1:2" ht="15" customHeight="1">
      <c r="A33" s="3" t="s">
        <v>28</v>
      </c>
    </row>
    <row r="34" spans="1:2" ht="15" customHeight="1">
      <c r="A34" s="4" t="s">
        <v>29</v>
      </c>
      <c r="B34" s="4" t="s">
        <v>4</v>
      </c>
    </row>
    <row r="35" spans="1:2" ht="15" customHeight="1">
      <c r="A35" s="7" t="s">
        <v>30</v>
      </c>
      <c r="B35" s="10">
        <f>B8</f>
        <v>236400</v>
      </c>
    </row>
    <row r="36" spans="1:2" ht="15" customHeight="1">
      <c r="A36" s="5" t="s">
        <v>31</v>
      </c>
      <c r="B36" s="11">
        <f>-B9</f>
        <v>-61600</v>
      </c>
    </row>
    <row r="37" spans="1:2" ht="15" customHeight="1">
      <c r="A37" s="5" t="s">
        <v>32</v>
      </c>
      <c r="B37" s="11">
        <f>-B11</f>
        <v>-300</v>
      </c>
    </row>
    <row r="38" spans="1:2" ht="15" customHeight="1">
      <c r="A38" s="7" t="s">
        <v>33</v>
      </c>
      <c r="B38" s="10">
        <f>B35+B36+B37</f>
        <v>174500</v>
      </c>
    </row>
    <row r="39" spans="1:2" ht="15" customHeight="1">
      <c r="A39" s="5" t="s">
        <v>17</v>
      </c>
      <c r="B39" s="12">
        <f>B17</f>
        <v>0.29235618597320723</v>
      </c>
    </row>
    <row r="40" spans="1:2" ht="15" customHeight="1">
      <c r="A40" s="7" t="s">
        <v>34</v>
      </c>
      <c r="B40" s="10">
        <f>B38*(1-B39)</f>
        <v>123483.84554767534</v>
      </c>
    </row>
    <row r="42" spans="1:2" ht="15" customHeight="1">
      <c r="A42" s="5" t="s">
        <v>35</v>
      </c>
      <c r="B42" s="11">
        <f>-B36-B37</f>
        <v>61900</v>
      </c>
    </row>
    <row r="43" spans="1:2" ht="15" customHeight="1">
      <c r="A43" s="5" t="s">
        <v>36</v>
      </c>
      <c r="B43" s="6">
        <f>B22</f>
        <v>-104100</v>
      </c>
    </row>
    <row r="44" spans="1:2" ht="15" customHeight="1">
      <c r="A44" s="5" t="s">
        <v>37</v>
      </c>
      <c r="B44" s="11">
        <f>-B31</f>
        <v>-18300</v>
      </c>
    </row>
    <row r="46" spans="1:2" ht="15" customHeight="1">
      <c r="A46" s="13" t="s">
        <v>38</v>
      </c>
      <c r="B46" s="14">
        <f>B40+B42+B43+B44</f>
        <v>62983.84554767533</v>
      </c>
    </row>
    <row r="48" spans="1:2" ht="15" customHeight="1">
      <c r="A48" s="5" t="s">
        <v>39</v>
      </c>
      <c r="B48" s="15">
        <f>B46/B6</f>
        <v>1.9979649012712642E-2</v>
      </c>
    </row>
    <row r="49" spans="1:2" ht="15" customHeight="1">
      <c r="A49" s="5" t="s">
        <v>40</v>
      </c>
      <c r="B49" s="15">
        <f>B46/B8</f>
        <v>0.26642912668221375</v>
      </c>
    </row>
    <row r="51" spans="1:2" ht="15" customHeight="1">
      <c r="A51" s="7" t="s">
        <v>41</v>
      </c>
    </row>
    <row r="52" spans="1:2" ht="15" customHeight="1">
      <c r="A52" s="16" t="s">
        <v>42</v>
      </c>
    </row>
    <row r="53" spans="1:2" ht="15" customHeight="1">
      <c r="A53" s="16" t="s">
        <v>43</v>
      </c>
    </row>
    <row r="54" spans="1:2" ht="15" customHeight="1">
      <c r="A54" s="16" t="s">
        <v>44</v>
      </c>
    </row>
    <row r="55" spans="1:2" ht="15" customHeight="1">
      <c r="A55" s="16" t="s">
        <v>45</v>
      </c>
    </row>
    <row r="56" spans="1:2" ht="15" customHeight="1">
      <c r="A56" s="16" t="s">
        <v>46</v>
      </c>
    </row>
    <row r="57" spans="1:2" ht="15" customHeight="1">
      <c r="A57" s="16" t="s">
        <v>47</v>
      </c>
    </row>
    <row r="58" spans="1:2" ht="15" customHeight="1">
      <c r="A58" s="16" t="s">
        <v>48</v>
      </c>
    </row>
    <row r="59" spans="1:2" ht="15" customHeight="1">
      <c r="A59" s="16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zoomScaleNormal="100" workbookViewId="0">
      <selection activeCell="C28" sqref="C28"/>
    </sheetView>
  </sheetViews>
  <sheetFormatPr defaultColWidth="8.7109375" defaultRowHeight="15"/>
  <cols>
    <col min="1" max="1" width="45" customWidth="1"/>
    <col min="2" max="2" width="18" customWidth="1"/>
    <col min="3" max="3" width="40" customWidth="1"/>
  </cols>
  <sheetData>
    <row r="1" spans="1:3" ht="17.25" customHeight="1">
      <c r="A1" s="1" t="s">
        <v>50</v>
      </c>
    </row>
    <row r="2" spans="1:3" ht="15" customHeight="1">
      <c r="A2" s="2" t="s">
        <v>51</v>
      </c>
    </row>
    <row r="4" spans="1:3" ht="15" customHeight="1">
      <c r="A4" s="3" t="s">
        <v>52</v>
      </c>
    </row>
    <row r="5" spans="1:3" ht="15" customHeight="1">
      <c r="A5" s="4" t="s">
        <v>53</v>
      </c>
      <c r="B5" s="4" t="s">
        <v>54</v>
      </c>
      <c r="C5" s="4" t="s">
        <v>55</v>
      </c>
    </row>
    <row r="6" spans="1:3" ht="15" customHeight="1">
      <c r="A6" s="5" t="s">
        <v>56</v>
      </c>
      <c r="B6" s="17">
        <v>4.9000000000000002E-2</v>
      </c>
      <c r="C6" s="18" t="s">
        <v>57</v>
      </c>
    </row>
    <row r="7" spans="1:3" ht="15" customHeight="1">
      <c r="A7" s="5" t="s">
        <v>58</v>
      </c>
      <c r="B7" s="17">
        <v>0.06</v>
      </c>
      <c r="C7" s="18" t="s">
        <v>59</v>
      </c>
    </row>
    <row r="8" spans="1:3" ht="15" customHeight="1">
      <c r="A8" s="5" t="s">
        <v>60</v>
      </c>
      <c r="B8" s="19">
        <v>0.5</v>
      </c>
      <c r="C8" s="18" t="s">
        <v>61</v>
      </c>
    </row>
    <row r="9" spans="1:3" ht="15" customHeight="1">
      <c r="A9" s="7" t="s">
        <v>62</v>
      </c>
      <c r="B9" s="9">
        <f>B6+B8*B7</f>
        <v>7.9000000000000001E-2</v>
      </c>
      <c r="C9" s="18" t="s">
        <v>63</v>
      </c>
    </row>
    <row r="12" spans="1:3" ht="15" customHeight="1">
      <c r="A12" s="3" t="s">
        <v>64</v>
      </c>
    </row>
    <row r="13" spans="1:3" ht="15" customHeight="1">
      <c r="A13" s="4" t="s">
        <v>53</v>
      </c>
      <c r="B13" s="4" t="s">
        <v>54</v>
      </c>
      <c r="C13" s="4" t="s">
        <v>55</v>
      </c>
    </row>
    <row r="14" spans="1:3" ht="15" customHeight="1">
      <c r="A14" s="5" t="s">
        <v>65</v>
      </c>
      <c r="B14" s="6">
        <v>41200</v>
      </c>
      <c r="C14" s="18" t="s">
        <v>66</v>
      </c>
    </row>
    <row r="15" spans="1:3" ht="15" customHeight="1">
      <c r="A15" s="5" t="s">
        <v>67</v>
      </c>
      <c r="B15" s="11">
        <f>(536800+458600)/2</f>
        <v>497700</v>
      </c>
      <c r="C15" s="18" t="s">
        <v>68</v>
      </c>
    </row>
    <row r="16" spans="1:3" ht="15" customHeight="1">
      <c r="A16" s="5" t="s">
        <v>69</v>
      </c>
      <c r="B16" s="12">
        <f>B14/B15</f>
        <v>8.2780791641551138E-2</v>
      </c>
      <c r="C16" s="18" t="s">
        <v>70</v>
      </c>
    </row>
    <row r="17" spans="1:3" ht="15" customHeight="1">
      <c r="A17" s="5" t="s">
        <v>71</v>
      </c>
      <c r="B17" s="20">
        <v>0.3</v>
      </c>
      <c r="C17" s="18" t="s">
        <v>72</v>
      </c>
    </row>
    <row r="18" spans="1:3" ht="15" customHeight="1">
      <c r="A18" s="5" t="s">
        <v>73</v>
      </c>
      <c r="B18" s="12">
        <f>B16*(1-B17)</f>
        <v>5.794655414908579E-2</v>
      </c>
      <c r="C18" s="18"/>
    </row>
    <row r="21" spans="1:3" ht="15" customHeight="1">
      <c r="A21" s="3" t="s">
        <v>74</v>
      </c>
    </row>
    <row r="22" spans="1:3" ht="15" customHeight="1">
      <c r="A22" s="4" t="s">
        <v>53</v>
      </c>
      <c r="B22" s="4" t="s">
        <v>54</v>
      </c>
      <c r="C22" s="4" t="s">
        <v>55</v>
      </c>
    </row>
    <row r="23" spans="1:3" ht="15" customHeight="1">
      <c r="A23" s="5" t="s">
        <v>75</v>
      </c>
      <c r="B23" s="21">
        <v>371700</v>
      </c>
      <c r="C23" s="18" t="s">
        <v>76</v>
      </c>
    </row>
    <row r="24" spans="1:3" ht="15" customHeight="1">
      <c r="A24" s="5" t="s">
        <v>77</v>
      </c>
      <c r="B24" s="22">
        <v>2.0699999999999998</v>
      </c>
      <c r="C24" s="18" t="s">
        <v>78</v>
      </c>
    </row>
    <row r="25" spans="1:3" ht="15" customHeight="1">
      <c r="A25" s="5" t="s">
        <v>79</v>
      </c>
      <c r="B25" s="11">
        <f>B23*B24</f>
        <v>769418.99999999988</v>
      </c>
      <c r="C25" s="18"/>
    </row>
    <row r="26" spans="1:3" ht="15" customHeight="1">
      <c r="A26" s="5" t="s">
        <v>80</v>
      </c>
      <c r="B26" s="6">
        <v>536800</v>
      </c>
      <c r="C26" s="18" t="s">
        <v>81</v>
      </c>
    </row>
    <row r="27" spans="1:3" ht="15" customHeight="1">
      <c r="A27" s="5" t="s">
        <v>82</v>
      </c>
      <c r="B27" s="11">
        <f>B25+B26</f>
        <v>1306219</v>
      </c>
      <c r="C27" s="18"/>
    </row>
    <row r="28" spans="1:3" ht="15" customHeight="1">
      <c r="A28" s="5" t="s">
        <v>83</v>
      </c>
      <c r="B28" s="12">
        <f>B25/B27</f>
        <v>0.58904287872094951</v>
      </c>
      <c r="C28" s="18"/>
    </row>
    <row r="29" spans="1:3" ht="15" customHeight="1">
      <c r="A29" s="5" t="s">
        <v>84</v>
      </c>
      <c r="B29" s="12">
        <f>B26/B27</f>
        <v>0.41095712127905043</v>
      </c>
      <c r="C29" s="18"/>
    </row>
    <row r="32" spans="1:3" ht="15" customHeight="1">
      <c r="A32" s="23" t="s">
        <v>85</v>
      </c>
      <c r="B32" s="24">
        <f>B28*B9+B29*B18</f>
        <v>7.034793650010393E-2</v>
      </c>
    </row>
    <row r="34" spans="1:1" ht="15" customHeight="1">
      <c r="A34" s="7" t="s">
        <v>86</v>
      </c>
    </row>
    <row r="35" spans="1:1" ht="15" customHeight="1">
      <c r="A35" s="16" t="s">
        <v>87</v>
      </c>
    </row>
    <row r="36" spans="1:1" ht="15" customHeight="1">
      <c r="A36" s="16" t="s">
        <v>88</v>
      </c>
    </row>
    <row r="37" spans="1:1" ht="15" customHeight="1">
      <c r="A37" s="16" t="s">
        <v>89</v>
      </c>
    </row>
    <row r="38" spans="1:1" ht="15" customHeight="1">
      <c r="A38" s="16" t="s">
        <v>90</v>
      </c>
    </row>
    <row r="39" spans="1:1" ht="15" customHeight="1">
      <c r="A39" s="16" t="s">
        <v>91</v>
      </c>
    </row>
    <row r="40" spans="1:1" ht="15" customHeight="1">
      <c r="A40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abSelected="1" topLeftCell="A9" zoomScaleNormal="100" workbookViewId="0">
      <selection activeCell="C21" sqref="C21"/>
    </sheetView>
  </sheetViews>
  <sheetFormatPr defaultColWidth="8.7109375" defaultRowHeight="15"/>
  <cols>
    <col min="1" max="1" width="38" customWidth="1"/>
    <col min="2" max="8" width="16" customWidth="1"/>
  </cols>
  <sheetData>
    <row r="1" spans="1:8" ht="17.25" customHeight="1">
      <c r="A1" s="1" t="s">
        <v>92</v>
      </c>
    </row>
    <row r="2" spans="1:8" ht="15" customHeight="1">
      <c r="A2" s="2" t="s">
        <v>93</v>
      </c>
    </row>
    <row r="4" spans="1:8" ht="15" customHeight="1">
      <c r="A4" s="3" t="s">
        <v>94</v>
      </c>
    </row>
    <row r="5" spans="1:8" ht="15" customHeight="1">
      <c r="A5" s="7" t="s">
        <v>95</v>
      </c>
      <c r="B5" s="10">
        <f>'Historical &amp; FCFF'!B46</f>
        <v>62983.84554767533</v>
      </c>
    </row>
    <row r="6" spans="1:8" ht="15" customHeight="1">
      <c r="A6" s="7" t="s">
        <v>96</v>
      </c>
      <c r="B6" s="17">
        <v>0.03</v>
      </c>
    </row>
    <row r="7" spans="1:8" ht="15" customHeight="1">
      <c r="A7" s="7" t="s">
        <v>97</v>
      </c>
      <c r="B7" s="17">
        <v>2.5000000000000001E-2</v>
      </c>
    </row>
    <row r="8" spans="1:8" ht="15" customHeight="1">
      <c r="A8" s="7" t="s">
        <v>98</v>
      </c>
      <c r="B8" s="9">
        <f>WACC!B32</f>
        <v>7.034793650010393E-2</v>
      </c>
    </row>
    <row r="9" spans="1:8" ht="15" customHeight="1">
      <c r="A9" s="7" t="s">
        <v>75</v>
      </c>
      <c r="B9" s="25">
        <v>371700</v>
      </c>
    </row>
    <row r="11" spans="1:8" ht="15" customHeight="1">
      <c r="A11" s="3" t="s">
        <v>99</v>
      </c>
    </row>
    <row r="12" spans="1:8" ht="15" customHeight="1">
      <c r="A12" s="4"/>
      <c r="B12" s="4" t="s">
        <v>100</v>
      </c>
      <c r="C12" s="4" t="s">
        <v>101</v>
      </c>
      <c r="D12" s="4" t="s">
        <v>102</v>
      </c>
      <c r="E12" s="4" t="s">
        <v>103</v>
      </c>
      <c r="F12" s="4" t="s">
        <v>104</v>
      </c>
      <c r="G12" s="4" t="s">
        <v>105</v>
      </c>
      <c r="H12" s="4" t="s">
        <v>106</v>
      </c>
    </row>
    <row r="13" spans="1:8" ht="15" customHeight="1">
      <c r="A13" s="7" t="s">
        <v>107</v>
      </c>
      <c r="B13" s="5" t="s">
        <v>108</v>
      </c>
      <c r="C13" s="5" t="s">
        <v>109</v>
      </c>
      <c r="D13" s="5" t="s">
        <v>110</v>
      </c>
      <c r="E13" s="5" t="s">
        <v>111</v>
      </c>
      <c r="F13" s="5" t="s">
        <v>112</v>
      </c>
      <c r="G13" s="5" t="s">
        <v>113</v>
      </c>
      <c r="H13" s="5" t="s">
        <v>114</v>
      </c>
    </row>
    <row r="14" spans="1:8" ht="15" customHeight="1">
      <c r="A14" s="5" t="s">
        <v>115</v>
      </c>
      <c r="C14" s="12">
        <f>$B$6</f>
        <v>0.03</v>
      </c>
      <c r="D14" s="12">
        <f>$B$6</f>
        <v>0.03</v>
      </c>
      <c r="E14" s="12">
        <f>$B$6</f>
        <v>0.03</v>
      </c>
      <c r="F14" s="12">
        <f>$B$6</f>
        <v>0.03</v>
      </c>
      <c r="G14" s="12">
        <f>$B$6</f>
        <v>0.03</v>
      </c>
      <c r="H14" s="12">
        <f>$B$7</f>
        <v>2.5000000000000001E-2</v>
      </c>
    </row>
    <row r="15" spans="1:8" ht="15" customHeight="1">
      <c r="A15" s="7" t="s">
        <v>116</v>
      </c>
      <c r="B15" s="26">
        <f>$B$5</f>
        <v>62983.84554767533</v>
      </c>
      <c r="C15" s="26">
        <f>B15*(1+C14)</f>
        <v>64873.360914105593</v>
      </c>
      <c r="D15" s="26">
        <f>C15*(1+D14)</f>
        <v>66819.561741528756</v>
      </c>
      <c r="E15" s="26">
        <f>D15*(1+E14)</f>
        <v>68824.148593774618</v>
      </c>
      <c r="F15" s="26">
        <f>E15*(1+F14)</f>
        <v>70888.873051587856</v>
      </c>
      <c r="G15" s="26">
        <f>F15*(1+G14)</f>
        <v>73015.539243135499</v>
      </c>
    </row>
    <row r="16" spans="1:8" ht="15" customHeight="1">
      <c r="A16" s="7" t="s">
        <v>117</v>
      </c>
      <c r="H16" s="10">
        <f>G15*(1+H14)/($B$8-H14)</f>
        <v>1650371.1855564222</v>
      </c>
    </row>
    <row r="17" spans="1:8" ht="15" customHeight="1">
      <c r="A17" s="5" t="s">
        <v>118</v>
      </c>
      <c r="C17" s="27">
        <f>1/(1+$B$8)^1</f>
        <v>0.93427563682690673</v>
      </c>
      <c r="D17" s="27">
        <f>1/(1+$B$8)^2</f>
        <v>0.87287096556832211</v>
      </c>
      <c r="E17" s="27">
        <f>1/(1+$B$8)^3</f>
        <v>0.81550207722406109</v>
      </c>
      <c r="F17" s="27">
        <f>1/(1+$B$8)^4</f>
        <v>0.76190372253217487</v>
      </c>
      <c r="G17" s="27">
        <f>1/(1+$B$8)^5</f>
        <v>0.71182808556953847</v>
      </c>
      <c r="H17" s="27">
        <f>1/(1+$B$8)^5</f>
        <v>0.71182808556953847</v>
      </c>
    </row>
    <row r="18" spans="1:8" ht="15" customHeight="1">
      <c r="A18" s="5" t="s">
        <v>119</v>
      </c>
      <c r="C18" s="26">
        <f>C15*C17</f>
        <v>60609.600581127765</v>
      </c>
      <c r="D18" s="26">
        <f>D15*D17</f>
        <v>58324.85537618032</v>
      </c>
      <c r="E18" s="26">
        <f>E15*E17</f>
        <v>56126.236141400645</v>
      </c>
      <c r="F18" s="26">
        <f>F15*F17</f>
        <v>54010.496264115565</v>
      </c>
      <c r="G18" s="26">
        <f>G15*G17</f>
        <v>51974.511516268649</v>
      </c>
    </row>
    <row r="19" spans="1:8" ht="15" customHeight="1">
      <c r="A19" s="5" t="s">
        <v>120</v>
      </c>
      <c r="H19" s="26">
        <f>H16*H17</f>
        <v>1174780.5614937576</v>
      </c>
    </row>
    <row r="22" spans="1:8" ht="15" customHeight="1">
      <c r="A22" s="3" t="s">
        <v>121</v>
      </c>
    </row>
    <row r="23" spans="1:8" ht="15" customHeight="1">
      <c r="A23" s="4" t="s">
        <v>122</v>
      </c>
      <c r="B23" s="4" t="s">
        <v>123</v>
      </c>
    </row>
    <row r="24" spans="1:8" ht="15" customHeight="1">
      <c r="A24" s="5" t="s">
        <v>124</v>
      </c>
      <c r="B24" s="11">
        <f>SUM(C18:G18)</f>
        <v>281045.69987909292</v>
      </c>
    </row>
    <row r="25" spans="1:8" ht="15" customHeight="1">
      <c r="A25" s="5" t="s">
        <v>125</v>
      </c>
      <c r="B25" s="11">
        <f>H19</f>
        <v>1174780.5614937576</v>
      </c>
    </row>
    <row r="26" spans="1:8" ht="15" customHeight="1">
      <c r="A26" s="28" t="s">
        <v>126</v>
      </c>
      <c r="B26" s="29">
        <f>B24+B25</f>
        <v>1455826.2613728505</v>
      </c>
    </row>
    <row r="27" spans="1:8" ht="15" customHeight="1">
      <c r="A27" s="5" t="s">
        <v>127</v>
      </c>
      <c r="B27" s="6">
        <v>-536800</v>
      </c>
    </row>
    <row r="28" spans="1:8" ht="15" customHeight="1">
      <c r="A28" s="5" t="s">
        <v>128</v>
      </c>
      <c r="B28" s="6">
        <v>106400</v>
      </c>
    </row>
    <row r="29" spans="1:8" ht="15" customHeight="1">
      <c r="A29" s="28" t="s">
        <v>129</v>
      </c>
      <c r="B29" s="29">
        <f>B26+B27+B28</f>
        <v>1025426.2613728505</v>
      </c>
    </row>
    <row r="30" spans="1:8" ht="15" customHeight="1">
      <c r="A30" s="5"/>
    </row>
    <row r="31" spans="1:8" ht="15" customHeight="1">
      <c r="A31" s="5" t="s">
        <v>75</v>
      </c>
      <c r="B31" s="11">
        <f>$B$9</f>
        <v>371700</v>
      </c>
    </row>
    <row r="32" spans="1:8" ht="15" customHeight="1">
      <c r="A32" s="28" t="s">
        <v>130</v>
      </c>
      <c r="B32" s="30">
        <f>B29/B31</f>
        <v>2.7587470039624713</v>
      </c>
    </row>
    <row r="33" spans="1:2" ht="15" customHeight="1">
      <c r="A33" s="5" t="s">
        <v>131</v>
      </c>
      <c r="B33" s="31">
        <v>2.0699999999999998</v>
      </c>
    </row>
    <row r="34" spans="1:2" ht="15" customHeight="1">
      <c r="A34" s="5" t="s">
        <v>132</v>
      </c>
      <c r="B34" s="12">
        <f>(B32-B33)/B33</f>
        <v>0.33272802123790896</v>
      </c>
    </row>
    <row r="36" spans="1:2" ht="15" customHeight="1">
      <c r="A36" s="5" t="s">
        <v>133</v>
      </c>
      <c r="B36" s="15">
        <f>B25/B26</f>
        <v>0.8069510714732776</v>
      </c>
    </row>
    <row r="38" spans="1:2" ht="15" customHeight="1">
      <c r="A38" s="7"/>
    </row>
    <row r="39" spans="1:2" ht="15" customHeight="1">
      <c r="A3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zoomScaleNormal="100" workbookViewId="0">
      <selection activeCell="E9" sqref="E9"/>
    </sheetView>
  </sheetViews>
  <sheetFormatPr defaultColWidth="8.7109375" defaultRowHeight="15"/>
  <cols>
    <col min="1" max="1" width="25" customWidth="1"/>
    <col min="2" max="2" width="18" customWidth="1"/>
    <col min="3" max="3" width="65" customWidth="1"/>
  </cols>
  <sheetData>
    <row r="1" spans="1:3" ht="17.25" customHeight="1">
      <c r="A1" s="1" t="s">
        <v>134</v>
      </c>
    </row>
    <row r="3" spans="1:3" ht="15" customHeight="1">
      <c r="A3" s="4" t="s">
        <v>135</v>
      </c>
      <c r="B3" s="4" t="s">
        <v>54</v>
      </c>
      <c r="C3" s="4" t="s">
        <v>136</v>
      </c>
    </row>
    <row r="4" spans="1:3" ht="42.75" customHeight="1">
      <c r="A4" s="32" t="s">
        <v>137</v>
      </c>
      <c r="B4" s="33" t="s">
        <v>138</v>
      </c>
      <c r="C4" s="34" t="s">
        <v>139</v>
      </c>
    </row>
    <row r="5" spans="1:3" ht="32.25" customHeight="1">
      <c r="A5" s="7" t="s">
        <v>140</v>
      </c>
      <c r="B5" s="35" t="s">
        <v>141</v>
      </c>
      <c r="C5" s="36" t="s">
        <v>142</v>
      </c>
    </row>
    <row r="6" spans="1:3" ht="32.25" customHeight="1">
      <c r="A6" s="32" t="s">
        <v>143</v>
      </c>
      <c r="B6" s="33" t="s">
        <v>144</v>
      </c>
      <c r="C6" s="34" t="s">
        <v>145</v>
      </c>
    </row>
    <row r="7" spans="1:3" ht="21.75" customHeight="1">
      <c r="A7" s="7" t="s">
        <v>146</v>
      </c>
      <c r="B7" s="35" t="s">
        <v>147</v>
      </c>
      <c r="C7" s="36" t="s">
        <v>148</v>
      </c>
    </row>
    <row r="8" spans="1:3" ht="21.75" customHeight="1">
      <c r="A8" s="32" t="s">
        <v>149</v>
      </c>
      <c r="B8" s="33" t="s">
        <v>150</v>
      </c>
      <c r="C8" s="34" t="s">
        <v>151</v>
      </c>
    </row>
    <row r="9" spans="1:3" ht="32.25" customHeight="1">
      <c r="A9" s="7" t="s">
        <v>152</v>
      </c>
      <c r="B9" s="35" t="s">
        <v>153</v>
      </c>
      <c r="C9" s="36" t="s">
        <v>154</v>
      </c>
    </row>
    <row r="10" spans="1:3" ht="21.75" customHeight="1">
      <c r="A10" s="32" t="s">
        <v>155</v>
      </c>
      <c r="B10" s="33" t="s">
        <v>156</v>
      </c>
      <c r="C10" s="34" t="s">
        <v>157</v>
      </c>
    </row>
    <row r="11" spans="1:3" ht="21.75" customHeight="1">
      <c r="A11" s="7" t="s">
        <v>158</v>
      </c>
      <c r="B11" s="35" t="s">
        <v>159</v>
      </c>
      <c r="C11" s="36" t="s">
        <v>160</v>
      </c>
    </row>
    <row r="12" spans="1:3" ht="21.75" customHeight="1">
      <c r="A12" s="32" t="s">
        <v>161</v>
      </c>
      <c r="B12" s="33" t="s">
        <v>162</v>
      </c>
      <c r="C12" s="34" t="s">
        <v>163</v>
      </c>
    </row>
    <row r="13" spans="1:3" ht="21.75" customHeight="1">
      <c r="A13" s="7" t="s">
        <v>164</v>
      </c>
      <c r="B13" s="35" t="s">
        <v>165</v>
      </c>
      <c r="C13" s="36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3C7697E19C544CB43439D6CB3382B1" ma:contentTypeVersion="3" ma:contentTypeDescription="Create a new document." ma:contentTypeScope="" ma:versionID="96099ac22f7baaa2080eb84822778220">
  <xsd:schema xmlns:xsd="http://www.w3.org/2001/XMLSchema" xmlns:xs="http://www.w3.org/2001/XMLSchema" xmlns:p="http://schemas.microsoft.com/office/2006/metadata/properties" xmlns:ns2="a66a170b-dc29-4fff-aee5-8a8568893256" targetNamespace="http://schemas.microsoft.com/office/2006/metadata/properties" ma:root="true" ma:fieldsID="3eb8b26b64bd35c686a8947f9181ca6c" ns2:_="">
    <xsd:import namespace="a66a170b-dc29-4fff-aee5-8a8568893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a170b-dc29-4fff-aee5-8a8568893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5EB6A8-AEBB-4227-8D98-2479A66826E2}"/>
</file>

<file path=customXml/itemProps2.xml><?xml version="1.0" encoding="utf-8"?>
<ds:datastoreItem xmlns:ds="http://schemas.openxmlformats.org/officeDocument/2006/customXml" ds:itemID="{80F5290C-02E0-4D1C-BE57-4E5A87ABBD37}"/>
</file>

<file path=customXml/itemProps3.xml><?xml version="1.0" encoding="utf-8"?>
<ds:datastoreItem xmlns:ds="http://schemas.openxmlformats.org/officeDocument/2006/customXml" ds:itemID="{FC6DA308-7A64-4F1D-B04E-EF3886C209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Shaneel Shastri</cp:lastModifiedBy>
  <cp:revision>0</cp:revision>
  <dcterms:created xsi:type="dcterms:W3CDTF">2026-05-28T10:00:16Z</dcterms:created>
  <dcterms:modified xsi:type="dcterms:W3CDTF">2026-06-03T08:57:13Z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0x0101000B3C7697E19C544CB43439D6CB3382B1</vt:lpwstr>
  </property>
</Properties>
</file>