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E:\MBS\mna\syndicate\"/>
    </mc:Choice>
  </mc:AlternateContent>
  <xr:revisionPtr revIDLastSave="0" documentId="13_ncr:1_{DACEF729-5878-4C33-B3D2-933BC18BF7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V_EBITDA_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F14" i="1" s="1"/>
  <c r="G14" i="1" s="1"/>
  <c r="M7" i="1"/>
  <c r="J7" i="1"/>
  <c r="K7" i="1" s="1"/>
  <c r="L7" i="1" s="1"/>
  <c r="M6" i="1"/>
  <c r="J6" i="1"/>
  <c r="K6" i="1" s="1"/>
  <c r="L6" i="1" s="1"/>
  <c r="M5" i="1"/>
  <c r="J5" i="1"/>
  <c r="K5" i="1" s="1"/>
  <c r="L5" i="1" s="1"/>
  <c r="M4" i="1"/>
  <c r="J4" i="1"/>
  <c r="K4" i="1" s="1"/>
  <c r="L4" i="1" s="1"/>
  <c r="D13" i="1" s="1"/>
  <c r="E13" i="1" s="1"/>
  <c r="F13" i="1" l="1"/>
  <c r="G13" i="1"/>
  <c r="B20" i="1" s="1"/>
</calcChain>
</file>

<file path=xl/sharedStrings.xml><?xml version="1.0" encoding="utf-8"?>
<sst xmlns="http://schemas.openxmlformats.org/spreadsheetml/2006/main" count="60" uniqueCount="57">
  <si>
    <t>Acquirer: COLES GROUP LIMITED (ASX: COL)</t>
  </si>
  <si>
    <t>comparable company name</t>
  </si>
  <si>
    <t>fiscal year</t>
  </si>
  <si>
    <t>Cash (millions)</t>
  </si>
  <si>
    <t>number of shares outstanding (millions)</t>
  </si>
  <si>
    <t>EBITDA (millions)</t>
  </si>
  <si>
    <t>EPS ($)</t>
  </si>
  <si>
    <t>stock price ($)</t>
  </si>
  <si>
    <t>debt value (millions)</t>
  </si>
  <si>
    <t>Non-controlling interest  (millions)</t>
  </si>
  <si>
    <t>equity mkt value (millions)</t>
  </si>
  <si>
    <t>Enterprise Value (million)</t>
  </si>
  <si>
    <t>EV/EBITDA multiple</t>
  </si>
  <si>
    <t>P/E multiple</t>
  </si>
  <si>
    <t>BEGA CHEESE LIMITED</t>
  </si>
  <si>
    <t>ELDERS LIMITED</t>
  </si>
  <si>
    <t>THE A2 MILK COMPANY LIMITED</t>
  </si>
  <si>
    <t>ORORA LIMITED</t>
  </si>
  <si>
    <t>INGHAMS GROUP LIMITED Information as of 2025</t>
  </si>
  <si>
    <t>Target Valuation</t>
  </si>
  <si>
    <t>average multiple</t>
  </si>
  <si>
    <t>Estimated Enterprise Value</t>
  </si>
  <si>
    <t>Estimated Share Value</t>
  </si>
  <si>
    <t>Estimated Equity Value (mln)</t>
  </si>
  <si>
    <t>Debt value (millions)</t>
  </si>
  <si>
    <t>Non-controlling interest (millions)</t>
  </si>
  <si>
    <t>Shares Outstanding (mln)</t>
  </si>
  <si>
    <t>Conclusion (midpoint equity value, mln)</t>
  </si>
  <si>
    <t>METHODOLOGY NOTES (RELEVANT TO THIS SHEET):</t>
  </si>
  <si>
    <t>• EV/EBITDA multiple = Enterprise Value / EBITDA.</t>
  </si>
  <si>
    <t>• Average EV/EBITDA multiple = average of comparable-company EV/EBITDA multiples.</t>
  </si>
  <si>
    <t>• Estimated Enterprise Value (EV method) = Average EV/EBITDA x Target EBITDA.</t>
  </si>
  <si>
    <t>• Estimated Equity Value (EV method) = Estimated EV - Debt - Non-controlling interest + Cash.</t>
  </si>
  <si>
    <t>• P/E multiple = Stock Price / EPS.</t>
  </si>
  <si>
    <t>• Average P/E multiple = average of comparable-company P/E multiples.</t>
  </si>
  <si>
    <t>• Estimated Share Value (P/E method) = Average P/E x Target EPS.</t>
  </si>
  <si>
    <t>• Estimated Equity Value (P/E method) = Estimated Share Value x Shares Outstanding (mln).</t>
  </si>
  <si>
    <t>• Conclusion (midpoint equity value) = average of EV-method equity value and P/E-method equity value.</t>
  </si>
  <si>
    <t>REFERENCES (source links):</t>
  </si>
  <si>
    <t>Inghams FY2025 Annual Report (source for DCF-consistent inputs)</t>
  </si>
  <si>
    <t>https://www.inghams.com.au/investors/financial-results/</t>
  </si>
  <si>
    <t>Yahoo Finance - Bega (BGA.AX)</t>
  </si>
  <si>
    <t>https://finance.yahoo.com/quote/BGA.AX/</t>
  </si>
  <si>
    <t>Yahoo Finance - Elders (ELD.AX)</t>
  </si>
  <si>
    <t>https://finance.yahoo.com/quote/ELD.AX/</t>
  </si>
  <si>
    <t>Yahoo Finance - a2 Milk (A2M.AX)</t>
  </si>
  <si>
    <t>https://finance.yahoo.com/quote/A2M.AX/</t>
  </si>
  <si>
    <t>Yahoo Finance - Orora (ORA.AX)</t>
  </si>
  <si>
    <t>https://finance.yahoo.com/quote/ORA.AX/</t>
  </si>
  <si>
    <t>Yahoo Finance - Ridley target (RIC.AX)</t>
  </si>
  <si>
    <t>https://finance.yahoo.com/quote/RIC.AX/</t>
  </si>
  <si>
    <t>Module 2 valuation notes (course file)</t>
  </si>
  <si>
    <t>Module_2_M&amp;A_valuation_multiples_notes_updated.pdf</t>
  </si>
  <si>
    <t>Module 2 valuation slides (course file)</t>
  </si>
  <si>
    <t>Module_2_M&amp;A_valuation_multiples_full.pdf</t>
  </si>
  <si>
    <t>Syndicate outline (course file)</t>
  </si>
  <si>
    <t>M&amp;A_syndicate_outline.pdf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</si>
</sst>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5" fillId="0" borderId="0" xfId="0" applyFont="1"/>
    <xf numFmtId="0" fontId="6" fillId="0" borderId="0" xfId="1"/>
    <xf numFmtId="1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A2M.AX/" TargetMode="External"/><Relationship Id="rId2" Type="http://schemas.openxmlformats.org/officeDocument/2006/relationships/hyperlink" Target="https://finance.yahoo.com/quote/ELD.AX/" TargetMode="External"/><Relationship Id="rId1" Type="http://schemas.openxmlformats.org/officeDocument/2006/relationships/hyperlink" Target="https://finance.yahoo.com/quote/BGA.AX/" TargetMode="External"/><Relationship Id="rId5" Type="http://schemas.openxmlformats.org/officeDocument/2006/relationships/hyperlink" Target="https://finance.yahoo.com/quote/RIC.AX/" TargetMode="External"/><Relationship Id="rId4" Type="http://schemas.openxmlformats.org/officeDocument/2006/relationships/hyperlink" Target="https://finance.yahoo.com/quote/ORA.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D19" sqref="D19"/>
    </sheetView>
  </sheetViews>
  <sheetFormatPr defaultRowHeight="15"/>
  <cols>
    <col min="1" max="1" width="95" customWidth="1"/>
    <col min="2" max="2" width="80" customWidth="1"/>
    <col min="3" max="14" width="18.7109375" customWidth="1"/>
  </cols>
  <sheetData>
    <row r="1" spans="1:13">
      <c r="A1" s="1" t="s">
        <v>0</v>
      </c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10">
        <v>2025</v>
      </c>
      <c r="C4" s="5">
        <v>75.2</v>
      </c>
      <c r="D4" s="5">
        <v>305.57291199999997</v>
      </c>
      <c r="E4" s="5">
        <v>107.9</v>
      </c>
      <c r="F4" s="5">
        <v>0.03</v>
      </c>
      <c r="G4" s="4">
        <v>5.45</v>
      </c>
      <c r="H4" s="5">
        <v>483.8</v>
      </c>
      <c r="I4" s="5">
        <v>0</v>
      </c>
      <c r="J4" s="6">
        <f>D4*G4</f>
        <v>1665.3723703999999</v>
      </c>
      <c r="K4" s="7">
        <f>J4+H4+I4-C4</f>
        <v>2073.9723704000003</v>
      </c>
      <c r="L4" s="6">
        <f>IF(E4=0,"",K4/E4)</f>
        <v>19.22124532344764</v>
      </c>
      <c r="M4" s="6">
        <f>IF(F4=0,"",G4/F4)</f>
        <v>181.66666666666669</v>
      </c>
    </row>
    <row r="5" spans="1:13">
      <c r="A5" s="3" t="s">
        <v>15</v>
      </c>
      <c r="B5" s="10">
        <v>2025</v>
      </c>
      <c r="C5" s="5">
        <v>87.546999999999997</v>
      </c>
      <c r="D5" s="5">
        <v>214.478734</v>
      </c>
      <c r="E5" s="5">
        <v>177.91499999999999</v>
      </c>
      <c r="F5" s="5">
        <v>0.25</v>
      </c>
      <c r="G5" s="4">
        <v>5.31</v>
      </c>
      <c r="H5" s="5">
        <v>988.523008</v>
      </c>
      <c r="I5" s="5">
        <v>0</v>
      </c>
      <c r="J5" s="6">
        <f>D5*G5</f>
        <v>1138.88207754</v>
      </c>
      <c r="K5" s="7">
        <f>J5+H5+I5-C5</f>
        <v>2039.85808554</v>
      </c>
      <c r="L5" s="6">
        <f>IF(E5=0,"",K5/E5)</f>
        <v>11.465351912654921</v>
      </c>
      <c r="M5" s="6">
        <f>IF(F5=0,"",G5/F5)</f>
        <v>21.24</v>
      </c>
    </row>
    <row r="6" spans="1:13">
      <c r="A6" s="3" t="s">
        <v>16</v>
      </c>
      <c r="B6" s="10">
        <v>2025</v>
      </c>
      <c r="C6" s="5">
        <v>896.878016</v>
      </c>
      <c r="D6" s="5">
        <v>725.42619400000001</v>
      </c>
      <c r="E6" s="5">
        <v>318.065</v>
      </c>
      <c r="F6" s="5">
        <v>0.25</v>
      </c>
      <c r="G6" s="4">
        <v>5.19</v>
      </c>
      <c r="H6" s="5">
        <v>19.148</v>
      </c>
      <c r="I6" s="5">
        <v>0</v>
      </c>
      <c r="J6" s="6">
        <f>D6*G6</f>
        <v>3764.9619468600004</v>
      </c>
      <c r="K6" s="7">
        <f>J6+H6+I6-C6</f>
        <v>2887.2319308600004</v>
      </c>
      <c r="L6" s="6">
        <f>IF(E6=0,"",K6/E6)</f>
        <v>9.0774902326882874</v>
      </c>
      <c r="M6" s="6">
        <f>IF(F6=0,"",G6/F6)</f>
        <v>20.76</v>
      </c>
    </row>
    <row r="7" spans="1:13">
      <c r="A7" s="3" t="s">
        <v>17</v>
      </c>
      <c r="B7" s="10">
        <v>2025</v>
      </c>
      <c r="C7" s="5">
        <v>283.5</v>
      </c>
      <c r="D7" s="5">
        <v>1225.342799</v>
      </c>
      <c r="E7" s="5">
        <v>299.5</v>
      </c>
      <c r="F7" s="5">
        <v>0.1</v>
      </c>
      <c r="G7" s="4">
        <v>1.25</v>
      </c>
      <c r="H7" s="5">
        <v>802.4</v>
      </c>
      <c r="I7" s="5">
        <v>0</v>
      </c>
      <c r="J7" s="6">
        <f>D7*G7</f>
        <v>1531.67849875</v>
      </c>
      <c r="K7" s="7">
        <f>J7+H7+I7-C7</f>
        <v>2050.5784987500001</v>
      </c>
      <c r="L7" s="6">
        <f>IF(E7=0,"",K7/E7)</f>
        <v>6.8466727838063441</v>
      </c>
      <c r="M7" s="6">
        <f>IF(F7=0,"",G7/F7)</f>
        <v>12.5</v>
      </c>
    </row>
    <row r="11" spans="1:13">
      <c r="A11" s="11" t="s">
        <v>18</v>
      </c>
      <c r="B11" s="12"/>
      <c r="C11" s="13"/>
      <c r="D11" s="11" t="s">
        <v>19</v>
      </c>
      <c r="E11" s="12"/>
      <c r="F11" s="12"/>
      <c r="G11" s="13"/>
    </row>
    <row r="12" spans="1:13">
      <c r="D12" s="2" t="s">
        <v>20</v>
      </c>
      <c r="E12" s="2" t="s">
        <v>21</v>
      </c>
      <c r="F12" s="2" t="s">
        <v>22</v>
      </c>
      <c r="G12" s="2" t="s">
        <v>23</v>
      </c>
    </row>
    <row r="13" spans="1:13">
      <c r="A13" s="3" t="s">
        <v>5</v>
      </c>
      <c r="B13" s="5">
        <v>236.4</v>
      </c>
      <c r="D13" s="6">
        <f>AVERAGE(L4:L7)</f>
        <v>11.652690063149297</v>
      </c>
      <c r="E13" s="6">
        <f>D13*B13</f>
        <v>2754.6959309284939</v>
      </c>
      <c r="F13" s="6">
        <f>(E13-B16-B17+B15)/B18</f>
        <v>6.2531502042735916</v>
      </c>
      <c r="G13" s="6">
        <f>E13-B16-B17+B15</f>
        <v>2324.2959309284938</v>
      </c>
    </row>
    <row r="14" spans="1:13">
      <c r="A14" s="3" t="s">
        <v>6</v>
      </c>
      <c r="B14" s="5">
        <v>0.241593</v>
      </c>
      <c r="D14" s="6">
        <f>AVERAGE(M4:M7)</f>
        <v>59.041666666666671</v>
      </c>
      <c r="F14" s="6">
        <f>D14*B14</f>
        <v>14.264053375000001</v>
      </c>
      <c r="G14" s="6">
        <f>F14*B18</f>
        <v>5301.9486394875003</v>
      </c>
    </row>
    <row r="15" spans="1:13">
      <c r="A15" s="3" t="s">
        <v>3</v>
      </c>
      <c r="B15" s="5">
        <v>106.4</v>
      </c>
    </row>
    <row r="16" spans="1:13">
      <c r="A16" s="3" t="s">
        <v>24</v>
      </c>
      <c r="B16" s="5">
        <v>536.79999999999995</v>
      </c>
    </row>
    <row r="17" spans="1:2">
      <c r="A17" s="3" t="s">
        <v>25</v>
      </c>
      <c r="B17" s="5">
        <v>0</v>
      </c>
    </row>
    <row r="18" spans="1:2">
      <c r="A18" s="3" t="s">
        <v>26</v>
      </c>
      <c r="B18" s="5">
        <v>371.7</v>
      </c>
    </row>
    <row r="20" spans="1:2">
      <c r="A20" s="2" t="s">
        <v>27</v>
      </c>
      <c r="B20" s="6">
        <f>AVERAGE(G13,G14)</f>
        <v>3813.1222852079973</v>
      </c>
    </row>
    <row r="23" spans="1:2" ht="20.100000000000001" customHeight="1">
      <c r="A23" s="8" t="s">
        <v>28</v>
      </c>
    </row>
    <row r="24" spans="1:2" ht="18.95" customHeight="1">
      <c r="A24" t="s">
        <v>29</v>
      </c>
    </row>
    <row r="25" spans="1:2" ht="18.95" customHeight="1">
      <c r="A25" t="s">
        <v>30</v>
      </c>
    </row>
    <row r="26" spans="1:2" ht="18.95" customHeight="1">
      <c r="A26" t="s">
        <v>31</v>
      </c>
    </row>
    <row r="27" spans="1:2" ht="18.95" customHeight="1">
      <c r="A27" t="s">
        <v>32</v>
      </c>
    </row>
    <row r="28" spans="1:2" ht="18.95" customHeight="1">
      <c r="A28" t="s">
        <v>33</v>
      </c>
    </row>
    <row r="29" spans="1:2" ht="18.95" customHeight="1">
      <c r="A29" t="s">
        <v>34</v>
      </c>
    </row>
    <row r="30" spans="1:2" ht="18.95" customHeight="1">
      <c r="A30" t="s">
        <v>35</v>
      </c>
    </row>
    <row r="31" spans="1:2" ht="18.95" customHeight="1">
      <c r="A31" t="s">
        <v>36</v>
      </c>
    </row>
    <row r="32" spans="1:2" ht="18.95" customHeight="1">
      <c r="A32" t="s">
        <v>37</v>
      </c>
    </row>
    <row r="33" spans="1:2" ht="18.95" customHeight="1"/>
    <row r="34" spans="1:2" ht="18.95" customHeight="1">
      <c r="A34" s="8" t="s">
        <v>38</v>
      </c>
    </row>
    <row r="35" spans="1:2" ht="18.95" customHeight="1">
      <c r="A35" t="s">
        <v>39</v>
      </c>
      <c r="B35" s="9" t="s">
        <v>40</v>
      </c>
    </row>
    <row r="36" spans="1:2" ht="18.95" customHeight="1">
      <c r="A36" t="s">
        <v>41</v>
      </c>
      <c r="B36" s="9" t="s">
        <v>42</v>
      </c>
    </row>
    <row r="37" spans="1:2" ht="18.95" customHeight="1">
      <c r="A37" t="s">
        <v>43</v>
      </c>
      <c r="B37" s="9" t="s">
        <v>44</v>
      </c>
    </row>
    <row r="38" spans="1:2" ht="18.95" customHeight="1">
      <c r="A38" t="s">
        <v>45</v>
      </c>
      <c r="B38" s="9" t="s">
        <v>46</v>
      </c>
    </row>
    <row r="39" spans="1:2" ht="18.95" customHeight="1">
      <c r="A39" t="s">
        <v>47</v>
      </c>
      <c r="B39" s="9" t="s">
        <v>48</v>
      </c>
    </row>
    <row r="40" spans="1:2" ht="18.95" customHeight="1">
      <c r="A40" t="s">
        <v>49</v>
      </c>
      <c r="B40" s="9" t="s">
        <v>50</v>
      </c>
    </row>
    <row r="41" spans="1:2" ht="18.95" customHeight="1">
      <c r="A41" t="s">
        <v>51</v>
      </c>
      <c r="B41" t="s">
        <v>52</v>
      </c>
    </row>
    <row r="42" spans="1:2" ht="18.95" customHeight="1">
      <c r="A42" t="s">
        <v>53</v>
      </c>
      <c r="B42" t="s">
        <v>54</v>
      </c>
    </row>
    <row r="43" spans="1:2" ht="18.95" customHeight="1">
      <c r="A43" t="s">
        <v>55</v>
      </c>
      <c r="B43" t="s">
        <v>56</v>
      </c>
    </row>
  </sheetData>
  <mergeCells count="2">
    <mergeCell ref="A11:C11"/>
    <mergeCell ref="D11:G11"/>
  </mergeCells>
  <hyperlinks>
    <hyperlink ref="B35" r:id="rId1" xr:uid="{00000000-0004-0000-0000-000000000000}"/>
    <hyperlink ref="B36" r:id="rId2" xr:uid="{00000000-0004-0000-0000-000001000000}"/>
    <hyperlink ref="B37" r:id="rId3" xr:uid="{00000000-0004-0000-0000-000002000000}"/>
    <hyperlink ref="B38" r:id="rId4" xr:uid="{00000000-0004-0000-0000-000003000000}"/>
    <hyperlink ref="B39" r:id="rId5" xr:uid="{00000000-0004-0000-0000-000004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C7697E19C544CB43439D6CB3382B1" ma:contentTypeVersion="3" ma:contentTypeDescription="Create a new document." ma:contentTypeScope="" ma:versionID="96099ac22f7baaa2080eb84822778220">
  <xsd:schema xmlns:xsd="http://www.w3.org/2001/XMLSchema" xmlns:xs="http://www.w3.org/2001/XMLSchema" xmlns:p="http://schemas.microsoft.com/office/2006/metadata/properties" xmlns:ns2="a66a170b-dc29-4fff-aee5-8a8568893256" targetNamespace="http://schemas.microsoft.com/office/2006/metadata/properties" ma:root="true" ma:fieldsID="3eb8b26b64bd35c686a8947f9181ca6c" ns2:_="">
    <xsd:import namespace="a66a170b-dc29-4fff-aee5-8a8568893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a170b-dc29-4fff-aee5-8a8568893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D71CE-D01D-4352-8DEC-3288D6D27CA0}"/>
</file>

<file path=customXml/itemProps2.xml><?xml version="1.0" encoding="utf-8"?>
<ds:datastoreItem xmlns:ds="http://schemas.openxmlformats.org/officeDocument/2006/customXml" ds:itemID="{F614B4B7-2B0E-43F7-995F-44652DA7D28C}"/>
</file>

<file path=customXml/itemProps3.xml><?xml version="1.0" encoding="utf-8"?>
<ds:datastoreItem xmlns:ds="http://schemas.openxmlformats.org/officeDocument/2006/customXml" ds:itemID="{CD9D9134-92E9-4965-94AF-8B128790D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Shobhan Mitra</cp:lastModifiedBy>
  <cp:revision/>
  <dcterms:created xsi:type="dcterms:W3CDTF">2026-06-07T04:23:36Z</dcterms:created>
  <dcterms:modified xsi:type="dcterms:W3CDTF">2026-06-14T06:26:24Z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0x0101000B3C7697E19C544CB43439D6CB3382B1</vt:lpwstr>
  </property>
</Properties>
</file>